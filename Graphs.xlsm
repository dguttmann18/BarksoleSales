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ny\UCT\2022\BarksoleSales\"/>
    </mc:Choice>
  </mc:AlternateContent>
  <xr:revisionPtr revIDLastSave="0" documentId="13_ncr:1_{E6768273-A8A3-4AE7-A358-323158565E7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Graph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5" i="1" l="1"/>
  <c r="B15" i="1"/>
  <c r="D4" i="1"/>
  <c r="D5" i="1"/>
  <c r="D6" i="1"/>
  <c r="D7" i="1"/>
  <c r="D8" i="1"/>
  <c r="D9" i="1"/>
  <c r="D10" i="1"/>
  <c r="D11" i="1"/>
  <c r="D12" i="1"/>
  <c r="D13" i="1"/>
  <c r="D14" i="1"/>
  <c r="D3" i="1"/>
  <c r="D15" i="1" l="1"/>
</calcChain>
</file>

<file path=xl/sharedStrings.xml><?xml version="1.0" encoding="utf-8"?>
<sst xmlns="http://schemas.openxmlformats.org/spreadsheetml/2006/main" count="15" uniqueCount="15">
  <si>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</si>
  <si>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</si>
  <si>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</si>
  <si>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</si>
  <si>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</si>
  <si>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</si>
  <si>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</si>
  <si>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</si>
  <si>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</si>
  <si>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</si>
  <si>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</si>
  <si>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</si>
  <si>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</si>
  <si>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Difference</t>
  </si>
  <si>
    <t>excl vat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</si>
</sst>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2" xfId="0" applyBorder="1"/>
    <xf numFmtId="2" fontId="0" fillId="0" borderId="1" xfId="0" applyNumberFormat="1" applyBorder="1"/>
    <xf numFmtId="164" fontId="0" fillId="2" borderId="3" xfId="0" applyNumberFormat="1" applyFill="1" applyBorder="1"/>
    <xf numFmtId="164" fontId="0" fillId="2" borderId="1" xfId="0" applyNumberFormat="1" applyFill="1" applyBorder="1"/>
    <xf numFmtId="164" fontId="0" fillId="0" borderId="1" xfId="0" applyNumberFormat="1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Graphs!$B$1:$B$2</c:f>
              <c:strCache>
                <c:ptCount val="2"/>
                <c:pt idx="0">
                  <c:v>excl vat</c:v>
                </c:pt>
                <c:pt idx="1">
                  <c:v>2021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Graphs!$A$3:$A$8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Graphs!$B$3:$B$8</c:f>
              <c:numCache>
                <c:formatCode>0.00</c:formatCode>
                <c:ptCount val="6"/>
                <c:pt idx="0">
                  <c:v>25476.52</c:v>
                </c:pt>
                <c:pt idx="1">
                  <c:v>31094.31</c:v>
                </c:pt>
                <c:pt idx="2">
                  <c:v>32938.26</c:v>
                </c:pt>
                <c:pt idx="3">
                  <c:v>29933.91</c:v>
                </c:pt>
                <c:pt idx="4">
                  <c:v>33782.61</c:v>
                </c:pt>
                <c:pt idx="5">
                  <c:v>29938.27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56-48C1-A735-CD53D00B0A06}"/>
            </c:ext>
          </c:extLst>
        </c:ser>
        <c:ser>
          <c:idx val="1"/>
          <c:order val="1"/>
          <c:tx>
            <c:strRef>
              <c:f>Graphs!$C$1:$C$2</c:f>
              <c:strCache>
                <c:ptCount val="2"/>
                <c:pt idx="0">
                  <c:v>excl vat</c:v>
                </c:pt>
                <c:pt idx="1">
                  <c:v>2022</c:v>
                </c:pt>
              </c:strCache>
            </c:strRef>
          </c:tx>
          <c:invertIfNegative val="0"/>
          <c:dLbls>
            <c:dLbl>
              <c:idx val="1"/>
              <c:layout>
                <c:manualLayout>
                  <c:x val="9.5693767886854426E-3"/>
                  <c:y val="-5.26315789473684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56-48C1-A735-CD53D00B0A0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Graphs!$A$3:$A$8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Graphs!$C$3:$C$8</c:f>
              <c:numCache>
                <c:formatCode>0.00</c:formatCode>
                <c:ptCount val="6"/>
                <c:pt idx="0">
                  <c:v>40775.65</c:v>
                </c:pt>
                <c:pt idx="1">
                  <c:v>31313.040000000001</c:v>
                </c:pt>
                <c:pt idx="2">
                  <c:v>30400</c:v>
                </c:pt>
                <c:pt idx="3">
                  <c:v>0</c:v>
                </c:pt>
                <c:pt idx="4">
                  <c:v>8908.7000000000007</c:v>
                </c:pt>
                <c:pt idx="5">
                  <c:v>19257.39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56-48C1-A735-CD53D00B0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014784"/>
        <c:axId val="125016704"/>
      </c:barChart>
      <c:catAx>
        <c:axId val="125014784"/>
        <c:scaling>
          <c:orientation val="minMax"/>
        </c:scaling>
        <c:delete val="0"/>
        <c:axPos val="b"/>
        <c:title>
          <c:overlay val="0"/>
        </c:title>
        <c:numFmt formatCode="General" sourceLinked="0"/>
        <c:majorTickMark val="out"/>
        <c:minorTickMark val="none"/>
        <c:tickLblPos val="nextTo"/>
        <c:crossAx val="125016704"/>
        <c:crosses val="autoZero"/>
        <c:auto val="1"/>
        <c:lblAlgn val="ctr"/>
        <c:lblOffset val="100"/>
        <c:noMultiLvlLbl val="0"/>
      </c:catAx>
      <c:valAx>
        <c:axId val="1250167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5014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Graphs!$B$1:$B$2</c:f>
              <c:strCache>
                <c:ptCount val="2"/>
                <c:pt idx="0">
                  <c:v>excl vat</c:v>
                </c:pt>
                <c:pt idx="1">
                  <c:v>2021</c:v>
                </c:pt>
              </c:strCache>
            </c:strRef>
          </c:tx>
          <c:xVal>
            <c:strRef>
              <c:f>Graphs!$A$3:$A$8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xVal>
          <c:yVal>
            <c:numRef>
              <c:f>Graphs!$B$3:$B$8</c:f>
              <c:numCache>
                <c:formatCode>0.00</c:formatCode>
                <c:ptCount val="6"/>
                <c:pt idx="0">
                  <c:v>25476.52</c:v>
                </c:pt>
                <c:pt idx="1">
                  <c:v>31094.31</c:v>
                </c:pt>
                <c:pt idx="2">
                  <c:v>32938.26</c:v>
                </c:pt>
                <c:pt idx="3">
                  <c:v>29933.91</c:v>
                </c:pt>
                <c:pt idx="4">
                  <c:v>33782.61</c:v>
                </c:pt>
                <c:pt idx="5">
                  <c:v>29938.27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B4-40CF-84DF-B967E825E24F}"/>
            </c:ext>
          </c:extLst>
        </c:ser>
        <c:ser>
          <c:idx val="1"/>
          <c:order val="1"/>
          <c:tx>
            <c:strRef>
              <c:f>Graphs!$C$1:$C$2</c:f>
              <c:strCache>
                <c:ptCount val="2"/>
                <c:pt idx="0">
                  <c:v>excl vat</c:v>
                </c:pt>
                <c:pt idx="1">
                  <c:v>2022</c:v>
                </c:pt>
              </c:strCache>
            </c:strRef>
          </c:tx>
          <c:xVal>
            <c:strRef>
              <c:f>Graphs!$A$3:$A$8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xVal>
          <c:yVal>
            <c:numRef>
              <c:f>Graphs!$C$3:$C$8</c:f>
              <c:numCache>
                <c:formatCode>0.00</c:formatCode>
                <c:ptCount val="6"/>
                <c:pt idx="0">
                  <c:v>40775.65</c:v>
                </c:pt>
                <c:pt idx="1">
                  <c:v>31313.040000000001</c:v>
                </c:pt>
                <c:pt idx="2">
                  <c:v>30400</c:v>
                </c:pt>
                <c:pt idx="3">
                  <c:v>0</c:v>
                </c:pt>
                <c:pt idx="4">
                  <c:v>8908.7000000000007</c:v>
                </c:pt>
                <c:pt idx="5">
                  <c:v>19257.39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B4-40CF-84DF-B967E825E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25440"/>
        <c:axId val="124926976"/>
      </c:scatterChart>
      <c:valAx>
        <c:axId val="124925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24926976"/>
        <c:crosses val="autoZero"/>
        <c:crossBetween val="midCat"/>
      </c:valAx>
      <c:valAx>
        <c:axId val="1249269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49254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419098</xdr:colOff>
      <xdr:row>0</xdr:row>
      <xdr:rowOff>95250</xdr:rowOff>
    </xdr:from>
    <xdr:to>
      <xdr:col>17</xdr:col>
      <xdr:colOff>457199</xdr:colOff>
      <xdr:row>23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411480</xdr:colOff>
      <xdr:row>24</xdr:row>
      <xdr:rowOff>70484</xdr:rowOff>
    </xdr:from>
    <xdr:to>
      <xdr:col>17</xdr:col>
      <xdr:colOff>381000</xdr:colOff>
      <xdr:row>41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15"/>
  <sheetViews>
    <sheetView tabSelected="1" zoomScaleNormal="100" workbookViewId="0">
      <selection activeCell="C20" sqref="C20"/>
    </sheetView>
  </sheetViews>
  <sheetFormatPr defaultRowHeight="14.4" x14ac:dyDescent="0.3"/>
  <cols>
    <col min="1" max="1" width="11.5546875" customWidth="1"/>
    <col min="2" max="2" width="13.44140625" customWidth="1"/>
    <col min="3" max="3" width="12.109375" customWidth="1"/>
    <col min="4" max="4" width="18.44140625" customWidth="1"/>
  </cols>
  <sheetData>
    <row r="1" spans="1:4" x14ac:dyDescent="0.3">
      <c r="B1" s="7" t="s">
        <v>14</v>
      </c>
      <c r="C1" s="7"/>
    </row>
    <row r="2" spans="1:4" x14ac:dyDescent="0.3">
      <c r="B2" s="1">
        <v>2021</v>
      </c>
      <c r="C2" s="1">
        <v>2022</v>
      </c>
      <c r="D2" s="1" t="s">
        <v>13</v>
      </c>
    </row>
    <row r="3" spans="1:4" x14ac:dyDescent="0.3">
      <c r="A3" s="2" t="s">
        <v>0</v>
      </c>
      <c r="B3" s="3">
        <v>25476.52</v>
      </c>
      <c r="C3" s="3">
        <v>40775.65</v>
      </c>
      <c r="D3" s="4">
        <f>B3-C3</f>
        <v>-15299.130000000001</v>
      </c>
    </row>
    <row r="4" spans="1:4" x14ac:dyDescent="0.3">
      <c r="A4" s="1" t="s">
        <v>1</v>
      </c>
      <c r="B4" s="3">
        <v>31094.31</v>
      </c>
      <c r="C4" s="3">
        <v>31313.040000000001</v>
      </c>
      <c r="D4" s="5">
        <f t="shared" ref="D4:D14" si="0">B4-C4</f>
        <v>-218.72999999999956</v>
      </c>
    </row>
    <row r="5" spans="1:4" x14ac:dyDescent="0.3">
      <c r="A5" s="1" t="s">
        <v>2</v>
      </c>
      <c r="B5" s="3">
        <v>32938.26</v>
      </c>
      <c r="C5" s="3">
        <v>30400</v>
      </c>
      <c r="D5" s="5">
        <f t="shared" si="0"/>
        <v>2538.260000000002</v>
      </c>
    </row>
    <row r="6" spans="1:4" x14ac:dyDescent="0.3">
      <c r="A6" s="1" t="s">
        <v>3</v>
      </c>
      <c r="B6" s="3">
        <v>29933.91</v>
      </c>
      <c r="C6" s="3">
        <v>0</v>
      </c>
      <c r="D6" s="5">
        <f t="shared" si="0"/>
        <v>29933.91</v>
      </c>
    </row>
    <row r="7" spans="1:4" x14ac:dyDescent="0.3">
      <c r="A7" s="1" t="s">
        <v>4</v>
      </c>
      <c r="B7" s="3">
        <v>33782.61</v>
      </c>
      <c r="C7" s="3">
        <v>8908.7000000000007</v>
      </c>
      <c r="D7" s="5">
        <f t="shared" si="0"/>
        <v>24873.91</v>
      </c>
    </row>
    <row r="8" spans="1:4" x14ac:dyDescent="0.3">
      <c r="A8" s="1" t="s">
        <v>5</v>
      </c>
      <c r="B8" s="3">
        <v>29938.27</v>
      </c>
      <c r="C8" s="3">
        <v>19257.39</v>
      </c>
      <c r="D8" s="5">
        <f t="shared" si="0"/>
        <v>10680.880000000001</v>
      </c>
    </row>
    <row r="9" spans="1:4" x14ac:dyDescent="0.3">
      <c r="A9" s="1" t="s">
        <v>6</v>
      </c>
      <c r="B9" s="3">
        <v>27678.27</v>
      </c>
      <c r="C9" s="3">
        <v>21027.83</v>
      </c>
      <c r="D9" s="5">
        <f t="shared" si="0"/>
        <v>6650.4399999999987</v>
      </c>
    </row>
    <row r="10" spans="1:4" x14ac:dyDescent="0.3">
      <c r="A10" s="1" t="s">
        <v>7</v>
      </c>
      <c r="B10" s="3">
        <v>26612</v>
      </c>
      <c r="C10" s="3">
        <v>22898.26</v>
      </c>
      <c r="D10" s="5">
        <f t="shared" si="0"/>
        <v>3713.7400000000016</v>
      </c>
    </row>
    <row r="11" spans="1:4" x14ac:dyDescent="0.3">
      <c r="A11" s="1" t="s">
        <v>8</v>
      </c>
      <c r="B11" s="3">
        <v>27142</v>
      </c>
      <c r="C11" s="3">
        <v>23626.959999999999</v>
      </c>
      <c r="D11" s="5">
        <f t="shared" si="0"/>
        <v>3515.0400000000009</v>
      </c>
    </row>
    <row r="12" spans="1:4" x14ac:dyDescent="0.3">
      <c r="A12" s="1" t="s">
        <v>9</v>
      </c>
      <c r="B12" s="3">
        <v>37003</v>
      </c>
      <c r="C12" s="3">
        <v>33334.78</v>
      </c>
      <c r="D12" s="5">
        <f t="shared" si="0"/>
        <v>3668.2200000000012</v>
      </c>
    </row>
    <row r="13" spans="1:4" x14ac:dyDescent="0.3">
      <c r="A13" s="1" t="s">
        <v>10</v>
      </c>
      <c r="B13" s="3">
        <v>30372</v>
      </c>
      <c r="C13" s="3">
        <v>28260</v>
      </c>
      <c r="D13" s="5">
        <f t="shared" si="0"/>
        <v>2112</v>
      </c>
    </row>
    <row r="14" spans="1:4" x14ac:dyDescent="0.3">
      <c r="A14" s="1" t="s">
        <v>11</v>
      </c>
      <c r="B14" s="3">
        <v>37986</v>
      </c>
      <c r="C14" s="3">
        <v>36766.089999999997</v>
      </c>
      <c r="D14" s="5">
        <f t="shared" si="0"/>
        <v>1219.9100000000035</v>
      </c>
    </row>
    <row r="15" spans="1:4" x14ac:dyDescent="0.3">
      <c r="A15" s="1" t="s">
        <v>12</v>
      </c>
      <c r="B15" s="3">
        <f>SUM(B3:B14)</f>
        <v>369957.14999999997</v>
      </c>
      <c r="C15" s="3">
        <f t="shared" ref="C15:D15" si="1">SUM(C3:C14)</f>
        <v>296568.69999999995</v>
      </c>
      <c r="D15" s="6">
        <f t="shared" si="1"/>
        <v>73388.450000000012</v>
      </c>
    </row>
  </sheetData>
  <mergeCells count="1">
    <mergeCell ref="B1:C1"/>
  </mergeCells>
  <pageMargins left="0.7" right="0.7" top="0.75" bottom="0.75" header="0.3" footer="0.3"/>
  <pageSetup paperSize="9" scale="72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Graphs</vt:lpstr>
    </vt:vector>
  </TitlesOfParts>
  <Company>Deftones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</dc:creator>
  <cp:lastModifiedBy>Daniel Guttmann</cp:lastModifiedBy>
  <cp:lastPrinted>2022-07-19T16:43:50Z</cp:lastPrinted>
  <dcterms:created xsi:type="dcterms:W3CDTF">2021-07-09T10:39:57Z</dcterms:created>
  <dcterms:modified xsi:type="dcterms:W3CDTF">2022-07-19T20:28:04Z</dcterms:modified>
</cp:coreProperties>
</file>